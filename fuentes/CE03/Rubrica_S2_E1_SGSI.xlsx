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úbrica" sheetId="1" state="visible" r:id="rId3"/>
    <sheet name="Entregables" sheetId="2" state="visible" r:id="rId4"/>
    <sheet name="Guía de us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<sst xmlns="http://schemas.openxmlformats.org/spreadsheetml/2006/main" count="130" uniqueCount="125">
  <si>
    <t xml:space="preserve">RÚBRICA — PLANIFICACIÓN E IMPLEMENTACIÓN DEL SGSI (Semestre 2 · Entregable 1 de 3)</t>
  </si>
  <si>
    <t xml:space="preserve">Etapa: Análisis, planificación, implementación, monitoreo y ética de seguridad  ·  Proyecto: Infraestructura híbrida AWS + on-premise VMware ESXi con seguridad perimetral y aplicación de un SGSI basado en ISO/IEC 27001.</t>
  </si>
  <si>
    <t xml:space="preserve">N°</t>
  </si>
  <si>
    <t xml:space="preserve">Criterio de evaluación</t>
  </si>
  <si>
    <t xml:space="preserve">Peso (%)</t>
  </si>
  <si>
    <t xml:space="preserve">4 - Excelente</t>
  </si>
  <si>
    <t xml:space="preserve">3 - Logrado</t>
  </si>
  <si>
    <t xml:space="preserve">2 - En proceso</t>
  </si>
  <si>
    <t xml:space="preserve">1 - Insuficiente</t>
  </si>
  <si>
    <t xml:space="preserve">0 - No evidenciado</t>
  </si>
  <si>
    <t xml:space="preserve">Nivel obtenido</t>
  </si>
  <si>
    <t xml:space="preserve">Puntaje</t>
  </si>
  <si>
    <t xml:space="preserve">Contexto, alcance y liderazgo del SGSI</t>
  </si>
  <si>
    <t xml:space="preserve">Define contexto, partes interesadas, alcance completo (coherente con los diseños del Semestre 1), política de seguridad y objetivos medibles.</t>
  </si>
  <si>
    <t xml:space="preserve">Define contexto, alcance y liderazgo con omisiones menores.</t>
  </si>
  <si>
    <t xml:space="preserve">Alcance o política parcial o poco consistente con la infraestructura.</t>
  </si>
  <si>
    <t xml:space="preserve">Alcance ambiguo y sin trazabilidad al proyecto.</t>
  </si>
  <si>
    <t xml:space="preserve">No presenta evidencia.</t>
  </si>
  <si>
    <t xml:space="preserve">Inventario de activos y clasificación de información</t>
  </si>
  <si>
    <t xml:space="preserve">Inventario completo con propietario, ubicación, criticidad, clasificación C-I-D y relación con los componentes del alcance.</t>
  </si>
  <si>
    <t xml:space="preserve">Inventario adecuado con pocos campos faltantes.</t>
  </si>
  <si>
    <t xml:space="preserve">Inventario parcial o desactualizado.</t>
  </si>
  <si>
    <t xml:space="preserve">Lista simple sin propietarios ni criticidad.</t>
  </si>
  <si>
    <t xml:space="preserve">No presenta inventario.</t>
  </si>
  <si>
    <t xml:space="preserve">Evaluación y tratamiento de riesgos (ISO/IEC 27005)</t>
  </si>
  <si>
    <t xml:space="preserve">Metodología definida; identifica activos, amenazas, vulnerabilidades, impacto, probabilidad, nivel, tratamiento y riesgo residual de forma consistente.</t>
  </si>
  <si>
    <t xml:space="preserve">Análisis consistente con omisiones menores.</t>
  </si>
  <si>
    <t xml:space="preserve">Matriz de riesgos incompleta o con criterios débiles.</t>
  </si>
  <si>
    <t xml:space="preserve">Riesgos listados sin método consistente.</t>
  </si>
  <si>
    <t xml:space="preserve">No presenta análisis.</t>
  </si>
  <si>
    <t xml:space="preserve">Declaración de Aplicabilidad (SoA) y selección de controles</t>
  </si>
  <si>
    <t xml:space="preserve">Controles justificados, estado de implementación y exclusiones justificadas, con trazabilidad completa riesgo → control → evidencia.</t>
  </si>
  <si>
    <t xml:space="preserve">SoA completa con pequeñas omisiones.</t>
  </si>
  <si>
    <t xml:space="preserve">SoA parcial o con justificación limitada.</t>
  </si>
  <si>
    <t xml:space="preserve">Listado de controles sin trazabilidad.</t>
  </si>
  <si>
    <t xml:space="preserve">No presenta SoA.</t>
  </si>
  <si>
    <t xml:space="preserve">Políticas y procedimientos del SGSI</t>
  </si>
  <si>
    <t xml:space="preserve">Políticas y procedimientos adaptados al proyecto (acceso, incidentes, proveedores/nube, respaldo/DR, uso aceptable), vinculados explícitamente a componentes reales.</t>
  </si>
  <si>
    <t xml:space="preserve">Políticas y procedimientos completos con pequeñas omisiones.</t>
  </si>
  <si>
    <t xml:space="preserve">Políticas parcialmente adaptadas o genéricas en algunos puntos.</t>
  </si>
  <si>
    <t xml:space="preserve">Políticas genéricas descargadas de Internet, sin adaptar.</t>
  </si>
  <si>
    <t xml:space="preserve">No presenta políticas ni procedimientos.</t>
  </si>
  <si>
    <t xml:space="preserve">Gestión de identidades, accesos y protección de datos (gobernanza)</t>
  </si>
  <si>
    <t xml:space="preserve">Define mínimo privilegio, matriz de accesos por rol, uso de MFA y manejo seguro de credenciales, coherente con la implementación técnica.</t>
  </si>
  <si>
    <t xml:space="preserve">Controles principales definidos con omisiones menores.</t>
  </si>
  <si>
    <t xml:space="preserve">Controles parciales o sin suficiente evidencia.</t>
  </si>
  <si>
    <t xml:space="preserve">Accesos excesivos o prácticas inseguras propuestas.</t>
  </si>
  <si>
    <t xml:space="preserve">No presenta gestión de identidades.</t>
  </si>
  <si>
    <t xml:space="preserve">Gestión de incidentes, continuidad y recuperación (planificación)</t>
  </si>
  <si>
    <t xml:space="preserve">Procedimiento de incidentes con roles y escalamiento, y RTO/RPO por servicio coherentes con los riesgos y la arquitectura.</t>
  </si>
  <si>
    <t xml:space="preserve">Documentación suficiente y coherente.</t>
  </si>
  <si>
    <t xml:space="preserve">Planes parciales o poco relacionados con los riesgos.</t>
  </si>
  <si>
    <t xml:space="preserve">Documentación genérica y sin relación con el proyecto.</t>
  </si>
  <si>
    <t xml:space="preserve">No presenta planificación.</t>
  </si>
  <si>
    <t xml:space="preserve">Ética de la seguridad de la información</t>
  </si>
  <si>
    <t xml:space="preserve">Declara y aplica código de conducta, alcance ético de las pruebas, consentimiento informado, manejo confidencial de datos conforme a normativa aplicable y procedimiento de divulgación responsable.</t>
  </si>
  <si>
    <t xml:space="preserve">Declaración ética completa con omisiones menores.</t>
  </si>
  <si>
    <t xml:space="preserve">Declaración ética superficial o genérica, sin evidencia de aplicación real.</t>
  </si>
  <si>
    <t xml:space="preserve">Menciona ética sin desarrollar principios concretos.</t>
  </si>
  <si>
    <t xml:space="preserve">No presenta declaración ética.</t>
  </si>
  <si>
    <t xml:space="preserve">Monitoreo, medición y auditoría interna del SGSI</t>
  </si>
  <si>
    <t xml:space="preserve">Reporta métricas de los objetivos, ejecuta auditoría interna completa (criterios, hallazgos, no conformidades, acciones correctivas) y revisión por la dirección.</t>
  </si>
  <si>
    <t xml:space="preserve">Monitoreo y auditoría interna con evidencias suficientes.</t>
  </si>
  <si>
    <t xml:space="preserve">Monitoreo limitado o auditoría interna incompleta.</t>
  </si>
  <si>
    <t xml:space="preserve">Métricas aisladas, sin auditoría interna real.</t>
  </si>
  <si>
    <t xml:space="preserve">No presenta monitoreo ni auditoría del SGSI.</t>
  </si>
  <si>
    <t xml:space="preserve">Calidad documental y sustentación</t>
  </si>
  <si>
    <t xml:space="preserve">Documento profesional, versionado, con matriz maestra de trazabilidad completa; el equipo explica y justifica cada decisión sin depender de terceros.</t>
  </si>
  <si>
    <t xml:space="preserve">Documentación clara y sustentación adecuada.</t>
  </si>
  <si>
    <t xml:space="preserve">Documentación o sustentación incompleta.</t>
  </si>
  <si>
    <t xml:space="preserve">Documentación desordenada o sustentación deficiente.</t>
  </si>
  <si>
    <t xml:space="preserve">No entrega documentación ni sustenta.</t>
  </si>
  <si>
    <t xml:space="preserve">TOTAL</t>
  </si>
  <si>
    <t xml:space="preserve">NOTA SOBRE 20</t>
  </si>
  <si>
    <t xml:space="preserve">Producto obligatorio</t>
  </si>
  <si>
    <t xml:space="preserve">Formato sugerido</t>
  </si>
  <si>
    <t xml:space="preserve">Contenido mínimo / evidencia</t>
  </si>
  <si>
    <t xml:space="preserve">Criterio de aceptación</t>
  </si>
  <si>
    <t xml:space="preserve">1</t>
  </si>
  <si>
    <t xml:space="preserve">Informe del SGSI</t>
  </si>
  <si>
    <t xml:space="preserve">DOCX + PDF</t>
  </si>
  <si>
    <t xml:space="preserve">Contexto, alcance, riesgos, SoA, políticas, ética, monitoreo, auditoría y conclusiones.</t>
  </si>
  <si>
    <t xml:space="preserve">Completo, versionado y trazable con los diseños del Semestre 1.</t>
  </si>
  <si>
    <t xml:space="preserve">2</t>
  </si>
  <si>
    <t xml:space="preserve">Inventario de activos</t>
  </si>
  <si>
    <t xml:space="preserve">XLSX</t>
  </si>
  <si>
    <t xml:space="preserve">Activo, propietario, ubicación, criticidad, clasificación C-I-D.</t>
  </si>
  <si>
    <t xml:space="preserve">Cubre todo el alcance del SGSI.</t>
  </si>
  <si>
    <t xml:space="preserve">3</t>
  </si>
  <si>
    <t xml:space="preserve">Matriz de evaluación y tratamiento de riesgos</t>
  </si>
  <si>
    <t xml:space="preserve">Activo, amenaza, vulnerabilidad, impacto, probabilidad, nivel, tratamiento.</t>
  </si>
  <si>
    <t xml:space="preserve">Criterios definidos y resultados consistentes.</t>
  </si>
  <si>
    <t xml:space="preserve">4</t>
  </si>
  <si>
    <t xml:space="preserve">Declaración de Aplicabilidad (SoA)</t>
  </si>
  <si>
    <t xml:space="preserve">XLSX/DOCX</t>
  </si>
  <si>
    <t xml:space="preserve">Controles aplicables, justificación, estado, evidencia, exclusiones.</t>
  </si>
  <si>
    <t xml:space="preserve">Trazabilidad riesgo → control → evidencia.</t>
  </si>
  <si>
    <t xml:space="preserve">5</t>
  </si>
  <si>
    <t xml:space="preserve">DOCX/PDF</t>
  </si>
  <si>
    <t xml:space="preserve">Seguridad, accesos, incidentes, proveedores/nube, respaldo/DR, uso aceptable.</t>
  </si>
  <si>
    <t xml:space="preserve">Documentos adaptados al proyecto, no plantillas genéricas.</t>
  </si>
  <si>
    <t xml:space="preserve">6</t>
  </si>
  <si>
    <t xml:space="preserve">Declaración de ética de seguridad</t>
  </si>
  <si>
    <t xml:space="preserve">Código de conducta, alcance ético, consentimiento, divulgación responsable.</t>
  </si>
  <si>
    <t xml:space="preserve">Firmada por el equipo y coherente con el comportamiento observado durante el proyecto.</t>
  </si>
  <si>
    <t xml:space="preserve">Proyecto</t>
  </si>
  <si>
    <t xml:space="preserve">Infraestructura híbrida AWS + on-premise VMware ESXi con seguridad perimetral y aplicación de un SGSI basado en ISO/IEC 27001.</t>
  </si>
  <si>
    <t xml:space="preserve">Etapa de este entregable</t>
  </si>
  <si>
    <t xml:space="preserve">Análisis, planificación, implementación, monitoreo y ética de seguridad</t>
  </si>
  <si>
    <t xml:space="preserve">Escala</t>
  </si>
  <si>
    <t xml:space="preserve">4 Excelente | 3 Logrado | 2 En proceso | 1 Insuficiente | 0 No evidenciado</t>
  </si>
  <si>
    <t xml:space="preserve">Cálculo</t>
  </si>
  <si>
    <t xml:space="preserve">Puntaje = Peso × (Nivel / 4). La hoja "Rúbrica" convierte automáticamente el total sobre 100 a nota sobre 20.</t>
  </si>
  <si>
    <t xml:space="preserve">Regla de evidencia</t>
  </si>
  <si>
    <t xml:space="preserve">No se evalúa como implementado/diseñado aquello que solo se describe de forma genérica. Cada elemento debe tener evidencia o justificación verificable.</t>
  </si>
  <si>
    <t xml:space="preserve">Regla de seguridad</t>
  </si>
  <si>
    <t xml:space="preserve">No incluir claves, tokens, secretos, contraseñas, llaves privadas ni datos personales reales en capturas o repositorios.</t>
  </si>
  <si>
    <t xml:space="preserve">Regla de reproducibilidad</t>
  </si>
  <si>
    <t xml:space="preserve">Las evidencias deben permitir al docente identificar qué se configuró o diseñó, dónde, con qué propósito y cuál fue el resultado.</t>
  </si>
  <si>
    <t xml:space="preserve">Regla de sustentación</t>
  </si>
  <si>
    <t xml:space="preserve">La nota del equipo puede complementarse con la sustentación individual para verificar autoría y dominio técnico.</t>
  </si>
  <si>
    <t xml:space="preserve">Base académica</t>
  </si>
  <si>
    <t xml:space="preserve">Alineada a ISO/IEC 27001:2022 (cláusulas 4-10 y Anexo A), ISO/IEC 27005 y a la normativa de protección de datos personales aplicable.</t>
  </si>
  <si>
    <t xml:space="preserve">Relación con el proyecto integrador</t>
  </si>
  <si>
    <t xml:space="preserve">Este entregable es parte de un proyecto de dos semestres. Semestre 1: Análisis y Diseño de Red · Análisis y Diseño de Centro de Datos Híbrido. Semestre 2: Planificación e Implementación del SGSI · Implementación, Testing y Monitoreo de Red · Implementación, Gestión y Control de Centro de Datos.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</si>
</sst>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FFFFFF"/>
      </patternFill>
    </fill>
    <fill>
      <patternFill patternType="solid">
        <fgColor rgb="FFC55A11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4" min="4" style="0" width="26"/>
    <col collapsed="false" customWidth="true" hidden="false" outlineLevel="0" max="7" min="5" style="0" width="22"/>
    <col collapsed="false" customWidth="true" hidden="false" outlineLevel="0" max="8" min="8" style="0" width="20"/>
    <col collapsed="false" customWidth="true" hidden="false" outlineLevel="0" max="9" min="9" style="0" width="10"/>
    <col collapsed="false" customWidth="true" hidden="false" outlineLevel="0" max="10" min="10" style="0" width="9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61.5" hidden="false" customHeight="true" outlineLevel="0" collapsed="false">
      <c r="A5" s="4" t="n">
        <v>1</v>
      </c>
      <c r="B5" s="5" t="s">
        <v>12</v>
      </c>
      <c r="C5" s="4" t="n">
        <v>10</v>
      </c>
      <c r="D5" s="5" t="s">
        <v>13</v>
      </c>
      <c r="E5" s="5" t="s">
        <v>14</v>
      </c>
      <c r="F5" s="5" t="s">
        <v>15</v>
      </c>
      <c r="G5" s="5" t="s">
        <v>16</v>
      </c>
      <c r="H5" s="5" t="s">
        <v>17</v>
      </c>
      <c r="I5" s="4"/>
      <c r="J5" s="4" t="n">
        <f aca="false">C5*(I5/4)</f>
        <v>0</v>
      </c>
    </row>
    <row r="6" customFormat="false" ht="61.5" hidden="false" customHeight="true" outlineLevel="0" collapsed="false">
      <c r="A6" s="4" t="n">
        <v>2</v>
      </c>
      <c r="B6" s="5" t="s">
        <v>18</v>
      </c>
      <c r="C6" s="4" t="n">
        <v>10</v>
      </c>
      <c r="D6" s="5" t="s">
        <v>19</v>
      </c>
      <c r="E6" s="5" t="s">
        <v>20</v>
      </c>
      <c r="F6" s="5" t="s">
        <v>21</v>
      </c>
      <c r="G6" s="5" t="s">
        <v>22</v>
      </c>
      <c r="H6" s="5" t="s">
        <v>23</v>
      </c>
      <c r="I6" s="4"/>
      <c r="J6" s="4" t="n">
        <f aca="false">C6*(I6/4)</f>
        <v>0</v>
      </c>
    </row>
    <row r="7" customFormat="false" ht="61.5" hidden="false" customHeight="true" outlineLevel="0" collapsed="false">
      <c r="A7" s="4" t="n">
        <v>3</v>
      </c>
      <c r="B7" s="5" t="s">
        <v>24</v>
      </c>
      <c r="C7" s="4" t="n">
        <v>18</v>
      </c>
      <c r="D7" s="5" t="s">
        <v>25</v>
      </c>
      <c r="E7" s="5" t="s">
        <v>26</v>
      </c>
      <c r="F7" s="5" t="s">
        <v>27</v>
      </c>
      <c r="G7" s="5" t="s">
        <v>28</v>
      </c>
      <c r="H7" s="5" t="s">
        <v>29</v>
      </c>
      <c r="I7" s="4"/>
      <c r="J7" s="4" t="n">
        <f aca="false">C7*(I7/4)</f>
        <v>0</v>
      </c>
    </row>
    <row r="8" customFormat="false" ht="61.5" hidden="false" customHeight="true" outlineLevel="0" collapsed="false">
      <c r="A8" s="4" t="n">
        <v>4</v>
      </c>
      <c r="B8" s="5" t="s">
        <v>30</v>
      </c>
      <c r="C8" s="4" t="n">
        <v>12</v>
      </c>
      <c r="D8" s="5" t="s">
        <v>31</v>
      </c>
      <c r="E8" s="5" t="s">
        <v>32</v>
      </c>
      <c r="F8" s="5" t="s">
        <v>33</v>
      </c>
      <c r="G8" s="5" t="s">
        <v>34</v>
      </c>
      <c r="H8" s="5" t="s">
        <v>35</v>
      </c>
      <c r="I8" s="4"/>
      <c r="J8" s="4" t="n">
        <f aca="false">C8*(I8/4)</f>
        <v>0</v>
      </c>
    </row>
    <row r="9" customFormat="false" ht="61.5" hidden="false" customHeight="true" outlineLevel="0" collapsed="false">
      <c r="A9" s="4" t="n">
        <v>5</v>
      </c>
      <c r="B9" s="5" t="s">
        <v>36</v>
      </c>
      <c r="C9" s="4" t="n">
        <v>10</v>
      </c>
      <c r="D9" s="5" t="s">
        <v>37</v>
      </c>
      <c r="E9" s="5" t="s">
        <v>38</v>
      </c>
      <c r="F9" s="5" t="s">
        <v>39</v>
      </c>
      <c r="G9" s="5" t="s">
        <v>40</v>
      </c>
      <c r="H9" s="5" t="s">
        <v>41</v>
      </c>
      <c r="I9" s="4"/>
      <c r="J9" s="4" t="n">
        <f aca="false">C9*(I9/4)</f>
        <v>0</v>
      </c>
    </row>
    <row r="10" customFormat="false" ht="61.5" hidden="false" customHeight="true" outlineLevel="0" collapsed="false">
      <c r="A10" s="4" t="n">
        <v>6</v>
      </c>
      <c r="B10" s="5" t="s">
        <v>42</v>
      </c>
      <c r="C10" s="4" t="n">
        <v>8</v>
      </c>
      <c r="D10" s="5" t="s">
        <v>43</v>
      </c>
      <c r="E10" s="5" t="s">
        <v>44</v>
      </c>
      <c r="F10" s="5" t="s">
        <v>45</v>
      </c>
      <c r="G10" s="5" t="s">
        <v>46</v>
      </c>
      <c r="H10" s="5" t="s">
        <v>47</v>
      </c>
      <c r="I10" s="4"/>
      <c r="J10" s="4" t="n">
        <f aca="false">C10*(I10/4)</f>
        <v>0</v>
      </c>
    </row>
    <row r="11" customFormat="false" ht="61.5" hidden="false" customHeight="true" outlineLevel="0" collapsed="false">
      <c r="A11" s="4" t="n">
        <v>7</v>
      </c>
      <c r="B11" s="5" t="s">
        <v>48</v>
      </c>
      <c r="C11" s="4" t="n">
        <v>8</v>
      </c>
      <c r="D11" s="5" t="s">
        <v>49</v>
      </c>
      <c r="E11" s="5" t="s">
        <v>50</v>
      </c>
      <c r="F11" s="5" t="s">
        <v>51</v>
      </c>
      <c r="G11" s="5" t="s">
        <v>52</v>
      </c>
      <c r="H11" s="5" t="s">
        <v>53</v>
      </c>
      <c r="I11" s="4"/>
      <c r="J11" s="4" t="n">
        <f aca="false">C11*(I11/4)</f>
        <v>0</v>
      </c>
    </row>
    <row r="12" customFormat="false" ht="61.5" hidden="false" customHeight="true" outlineLevel="0" collapsed="false">
      <c r="A12" s="4" t="n">
        <v>8</v>
      </c>
      <c r="B12" s="5" t="s">
        <v>54</v>
      </c>
      <c r="C12" s="4" t="n">
        <v>8</v>
      </c>
      <c r="D12" s="5" t="s">
        <v>55</v>
      </c>
      <c r="E12" s="5" t="s">
        <v>56</v>
      </c>
      <c r="F12" s="5" t="s">
        <v>57</v>
      </c>
      <c r="G12" s="5" t="s">
        <v>58</v>
      </c>
      <c r="H12" s="5" t="s">
        <v>59</v>
      </c>
      <c r="I12" s="4"/>
      <c r="J12" s="4" t="n">
        <f aca="false">C12*(I12/4)</f>
        <v>0</v>
      </c>
    </row>
    <row r="13" customFormat="false" ht="61.5" hidden="false" customHeight="true" outlineLevel="0" collapsed="false">
      <c r="A13" s="4" t="n">
        <v>9</v>
      </c>
      <c r="B13" s="5" t="s">
        <v>60</v>
      </c>
      <c r="C13" s="4" t="n">
        <v>9</v>
      </c>
      <c r="D13" s="5" t="s">
        <v>61</v>
      </c>
      <c r="E13" s="5" t="s">
        <v>62</v>
      </c>
      <c r="F13" s="5" t="s">
        <v>63</v>
      </c>
      <c r="G13" s="5" t="s">
        <v>64</v>
      </c>
      <c r="H13" s="5" t="s">
        <v>65</v>
      </c>
      <c r="I13" s="4"/>
      <c r="J13" s="4" t="n">
        <f aca="false">C13*(I13/4)</f>
        <v>0</v>
      </c>
    </row>
    <row r="14" customFormat="false" ht="61.5" hidden="false" customHeight="true" outlineLevel="0" collapsed="false">
      <c r="A14" s="4" t="n">
        <v>10</v>
      </c>
      <c r="B14" s="5" t="s">
        <v>66</v>
      </c>
      <c r="C14" s="4" t="n">
        <v>7</v>
      </c>
      <c r="D14" s="5" t="s">
        <v>67</v>
      </c>
      <c r="E14" s="5" t="s">
        <v>68</v>
      </c>
      <c r="F14" s="5" t="s">
        <v>69</v>
      </c>
      <c r="G14" s="5" t="s">
        <v>70</v>
      </c>
      <c r="H14" s="5" t="s">
        <v>71</v>
      </c>
      <c r="I14" s="4"/>
      <c r="J14" s="4" t="n">
        <f aca="false">C14*(I14/4)</f>
        <v>0</v>
      </c>
    </row>
    <row r="15" customFormat="false" ht="15" hidden="false" customHeight="true" outlineLevel="0" collapsed="false">
      <c r="A15" s="6" t="s">
        <v>72</v>
      </c>
      <c r="B15" s="6"/>
      <c r="C15" s="7" t="n">
        <f aca="false">SUM(C5:C14)</f>
        <v>100</v>
      </c>
      <c r="D15" s="7"/>
      <c r="E15" s="7"/>
      <c r="F15" s="7"/>
      <c r="G15" s="7"/>
      <c r="H15" s="7"/>
      <c r="I15" s="7"/>
      <c r="J15" s="7" t="n">
        <f aca="false">SUM(J5:J14)</f>
        <v>0</v>
      </c>
    </row>
    <row r="16" customFormat="false" ht="15" hidden="false" customHeight="true" outlineLevel="0" collapsed="false">
      <c r="A16" s="8" t="s">
        <v>73</v>
      </c>
      <c r="B16" s="8"/>
      <c r="C16" s="8"/>
      <c r="D16" s="8"/>
      <c r="E16" s="8"/>
      <c r="F16" s="8"/>
      <c r="G16" s="8"/>
      <c r="H16" s="8"/>
      <c r="I16" s="8"/>
      <c r="J16" s="9" t="n">
        <f aca="false">ROUND(J15/5,2)</f>
        <v>0</v>
      </c>
    </row>
  </sheetData>
  <mergeCells count="4">
    <mergeCell ref="A1:J1"/>
    <mergeCell ref="A2:J2"/>
    <mergeCell ref="A15:B15"/>
    <mergeCell ref="A16:I16"/>
  </mergeCells>
  <dataValidations count="1">
    <dataValidation allowBlank="true" error="Ingrese un valor entre 0 y 4" errorStyle="stop" errorTitle="Nivel inválido" operator="between" showDropDown="false" showErrorMessage="true" showInputMessage="false" sqref="I5:I14" type="list">
      <formula1>"0,1,2,3,4"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34"/>
  </cols>
  <sheetData>
    <row r="1" customFormat="false" ht="15" hidden="false" customHeight="false" outlineLevel="0" collapsed="false">
      <c r="A1" s="3" t="s">
        <v>2</v>
      </c>
      <c r="B1" s="3" t="s">
        <v>74</v>
      </c>
      <c r="C1" s="3" t="s">
        <v>75</v>
      </c>
      <c r="D1" s="3" t="s">
        <v>76</v>
      </c>
      <c r="E1" s="3" t="s">
        <v>77</v>
      </c>
    </row>
    <row r="2" customFormat="false" ht="45.75" hidden="false" customHeight="true" outlineLevel="0" collapsed="false">
      <c r="A2" s="5" t="s">
        <v>78</v>
      </c>
      <c r="B2" s="5" t="s">
        <v>79</v>
      </c>
      <c r="C2" s="5" t="s">
        <v>80</v>
      </c>
      <c r="D2" s="5" t="s">
        <v>81</v>
      </c>
      <c r="E2" s="5" t="s">
        <v>82</v>
      </c>
    </row>
    <row r="3" customFormat="false" ht="45.75" hidden="false" customHeight="true" outlineLevel="0" collapsed="false">
      <c r="A3" s="5" t="s">
        <v>83</v>
      </c>
      <c r="B3" s="5" t="s">
        <v>84</v>
      </c>
      <c r="C3" s="5" t="s">
        <v>85</v>
      </c>
      <c r="D3" s="5" t="s">
        <v>86</v>
      </c>
      <c r="E3" s="5" t="s">
        <v>87</v>
      </c>
    </row>
    <row r="4" customFormat="false" ht="45.75" hidden="false" customHeight="true" outlineLevel="0" collapsed="false">
      <c r="A4" s="5" t="s">
        <v>88</v>
      </c>
      <c r="B4" s="5" t="s">
        <v>89</v>
      </c>
      <c r="C4" s="5" t="s">
        <v>85</v>
      </c>
      <c r="D4" s="5" t="s">
        <v>90</v>
      </c>
      <c r="E4" s="5" t="s">
        <v>91</v>
      </c>
    </row>
    <row r="5" customFormat="false" ht="45.75" hidden="false" customHeight="true" outlineLevel="0" collapsed="false">
      <c r="A5" s="5" t="s">
        <v>92</v>
      </c>
      <c r="B5" s="5" t="s">
        <v>93</v>
      </c>
      <c r="C5" s="5" t="s">
        <v>94</v>
      </c>
      <c r="D5" s="5" t="s">
        <v>95</v>
      </c>
      <c r="E5" s="5" t="s">
        <v>96</v>
      </c>
    </row>
    <row r="6" customFormat="false" ht="45.75" hidden="false" customHeight="true" outlineLevel="0" collapsed="false">
      <c r="A6" s="5" t="s">
        <v>97</v>
      </c>
      <c r="B6" s="5" t="s">
        <v>36</v>
      </c>
      <c r="C6" s="5" t="s">
        <v>98</v>
      </c>
      <c r="D6" s="5" t="s">
        <v>99</v>
      </c>
      <c r="E6" s="5" t="s">
        <v>100</v>
      </c>
    </row>
    <row r="7" customFormat="false" ht="45.75" hidden="false" customHeight="true" outlineLevel="0" collapsed="false">
      <c r="A7" s="5" t="s">
        <v>101</v>
      </c>
      <c r="B7" s="5" t="s">
        <v>102</v>
      </c>
      <c r="C7" s="5" t="s">
        <v>98</v>
      </c>
      <c r="D7" s="5" t="s">
        <v>103</v>
      </c>
      <c r="E7" s="5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5"/>
  </cols>
  <sheetData>
    <row r="1" customFormat="false" ht="19.5" hidden="false" customHeight="true" outlineLevel="0" collapsed="false">
      <c r="A1" s="10" t="s">
        <v>0</v>
      </c>
      <c r="B1" s="5"/>
    </row>
    <row r="2" customFormat="false" ht="30" hidden="false" customHeight="true" outlineLevel="0" collapsed="false">
      <c r="A2" s="11" t="s">
        <v>105</v>
      </c>
      <c r="B2" s="5" t="s">
        <v>106</v>
      </c>
    </row>
    <row r="3" customFormat="false" ht="30" hidden="false" customHeight="true" outlineLevel="0" collapsed="false">
      <c r="A3" s="11" t="s">
        <v>107</v>
      </c>
      <c r="B3" s="5" t="s">
        <v>108</v>
      </c>
    </row>
    <row r="4" customFormat="false" ht="30" hidden="false" customHeight="true" outlineLevel="0" collapsed="false">
      <c r="A4" s="11" t="s">
        <v>109</v>
      </c>
      <c r="B4" s="5" t="s">
        <v>110</v>
      </c>
    </row>
    <row r="5" customFormat="false" ht="30" hidden="false" customHeight="true" outlineLevel="0" collapsed="false">
      <c r="A5" s="11" t="s">
        <v>111</v>
      </c>
      <c r="B5" s="5" t="s">
        <v>112</v>
      </c>
    </row>
    <row r="6" customFormat="false" ht="30" hidden="false" customHeight="true" outlineLevel="0" collapsed="false">
      <c r="A6" s="11" t="s">
        <v>113</v>
      </c>
      <c r="B6" s="5" t="s">
        <v>114</v>
      </c>
    </row>
    <row r="7" customFormat="false" ht="30" hidden="false" customHeight="true" outlineLevel="0" collapsed="false">
      <c r="A7" s="11" t="s">
        <v>115</v>
      </c>
      <c r="B7" s="5" t="s">
        <v>116</v>
      </c>
    </row>
    <row r="8" customFormat="false" ht="30" hidden="false" customHeight="true" outlineLevel="0" collapsed="false">
      <c r="A8" s="11" t="s">
        <v>117</v>
      </c>
      <c r="B8" s="5" t="s">
        <v>118</v>
      </c>
    </row>
    <row r="9" customFormat="false" ht="30" hidden="false" customHeight="true" outlineLevel="0" collapsed="false">
      <c r="A9" s="11" t="s">
        <v>119</v>
      </c>
      <c r="B9" s="5" t="s">
        <v>120</v>
      </c>
    </row>
    <row r="10" customFormat="false" ht="30" hidden="false" customHeight="true" outlineLevel="0" collapsed="false">
      <c r="A10" s="11" t="s">
        <v>121</v>
      </c>
      <c r="B10" s="5" t="s">
        <v>122</v>
      </c>
    </row>
    <row r="11" customFormat="false" ht="30" hidden="false" customHeight="true" outlineLevel="0" collapsed="false">
      <c r="A11" s="11" t="s">
        <v>123</v>
      </c>
      <c r="B11" s="5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2026-08-20T00:22:17Z</dcterms:created>
  <dc:creator>openpyxl</dc:creator>
  <dc:description/>
  <dc:language>en-US</dc:language>
  <cp:lastModifiedBy/>
  <dcterms:modified xsi:type="dcterms:W3CDTF">2026-08-20T00:22:17Z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