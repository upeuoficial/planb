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úbrica" sheetId="1" state="visible" r:id="rId3"/>
    <sheet name="Entregables" sheetId="2" state="visible" r:id="rId4"/>
    <sheet name="Guía de us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<sst xmlns="http://schemas.openxmlformats.org/spreadsheetml/2006/main" count="108" uniqueCount="104">
  <si>
    <t xml:space="preserve">RÚBRICA — IMPLEMENTACIÓN, TESTING Y MONITOREO DE RED (Semestre 2 · Entregable 2 de 3)</t>
  </si>
  <si>
    <t xml:space="preserve">Etapa: Implementación, pruebas y monitoreo  ·  Proyecto: Infraestructura híbrida AWS + on-premise VMware ESXi con seguridad perimetral y aplicación de un SGSI basado en ISO/IEC 27001.</t>
  </si>
  <si>
    <t xml:space="preserve">N°</t>
  </si>
  <si>
    <t xml:space="preserve">Criterio de evaluación</t>
  </si>
  <si>
    <t xml:space="preserve">Peso (%)</t>
  </si>
  <si>
    <t xml:space="preserve">4 - Excelente</t>
  </si>
  <si>
    <t xml:space="preserve">3 - Logrado</t>
  </si>
  <si>
    <t xml:space="preserve">2 - En proceso</t>
  </si>
  <si>
    <t xml:space="preserve">1 - Insuficiente</t>
  </si>
  <si>
    <t xml:space="preserve">0 - No evidenciado</t>
  </si>
  <si>
    <t xml:space="preserve">Nivel obtenido</t>
  </si>
  <si>
    <t xml:space="preserve">Puntaje</t>
  </si>
  <si>
    <t xml:space="preserve">Trazabilidad con el diseño de red (Semestre 1)</t>
  </si>
  <si>
    <t xml:space="preserve">Identifica explícitamente qué se implementó según el diseño y qué cambió, con justificación técnica de cada cambio.</t>
  </si>
  <si>
    <t xml:space="preserve">Trazabilidad presente con omisiones menores.</t>
  </si>
  <si>
    <t xml:space="preserve">Trazabilidad parcial o poco justificada.</t>
  </si>
  <si>
    <t xml:space="preserve">No relaciona la implementación con el diseño original.</t>
  </si>
  <si>
    <t xml:space="preserve">No presenta trazabilidad.</t>
  </si>
  <si>
    <t xml:space="preserve">Conectividad híbrida implementada: VPN y enrutamiento</t>
  </si>
  <si>
    <t xml:space="preserve">VPN operativa, rutas correctas, pruebas bidireccionales ejecutadas y evidencia de cifrado/seguridad.</t>
  </si>
  <si>
    <t xml:space="preserve">VPN y rutas operativas con evidencia suficiente.</t>
  </si>
  <si>
    <t xml:space="preserve">Conectividad parcial o pruebas incompletas.</t>
  </si>
  <si>
    <t xml:space="preserve">Conectividad inestable o sin controles claros.</t>
  </si>
  <si>
    <t xml:space="preserve">No implementado.</t>
  </si>
  <si>
    <t xml:space="preserve">Seguridad perimetral implementada: firewall, DMZ y segmentación</t>
  </si>
  <si>
    <t xml:space="preserve">Firewall con política mínima necesaria, DMZ, segmentación por zonas, reglas justificadas y pruebas de permitido/denegado ejecutadas.</t>
  </si>
  <si>
    <t xml:space="preserve">Controles operativos con pequeñas brechas de documentación.</t>
  </si>
  <si>
    <t xml:space="preserve">Segmentación parcial o reglas demasiado amplias.</t>
  </si>
  <si>
    <t xml:space="preserve">Configuración débil, inconsistente o sin pruebas.</t>
  </si>
  <si>
    <t xml:space="preserve">IDS/IPS, honeypot y detección implementados</t>
  </si>
  <si>
    <t xml:space="preserve">IDS/IPS y honeypot operativos, reglas/eventos documentados, alertas y pruebas controladas con trazabilidad completa.</t>
  </si>
  <si>
    <t xml:space="preserve">Controles operativos y evidencias suficientes.</t>
  </si>
  <si>
    <t xml:space="preserve">Implementación parcial o baja trazabilidad.</t>
  </si>
  <si>
    <t xml:space="preserve">Herramientas instaladas sin validación real.</t>
  </si>
  <si>
    <t xml:space="preserve">Monitoreo, registros y visibilidad de red</t>
  </si>
  <si>
    <t xml:space="preserve">Centraliza y consulta logs, muestra dashboards o métricas, correlaciona eventos relevantes y conserva evidencias.</t>
  </si>
  <si>
    <t xml:space="preserve">Monitoreo funcional con evidencias adecuadas.</t>
  </si>
  <si>
    <t xml:space="preserve">Monitoreo limitado a algunos componentes.</t>
  </si>
  <si>
    <t xml:space="preserve">Logs aislados y sin análisis.</t>
  </si>
  <si>
    <t xml:space="preserve">No presenta monitoreo.</t>
  </si>
  <si>
    <t xml:space="preserve">Plan y resultados de pruebas técnicas</t>
  </si>
  <si>
    <t xml:space="preserve">Plan de pruebas reproducible, con resultados esperados vs. obtenidos, evidencia y criterios de aceptación claros.</t>
  </si>
  <si>
    <t xml:space="preserve">Pruebas suficientes con omisiones menores.</t>
  </si>
  <si>
    <t xml:space="preserve">Evidencia parcial o poco reproducible.</t>
  </si>
  <si>
    <t xml:space="preserve">Capturas aisladas sin criterios de aceptación.</t>
  </si>
  <si>
    <t xml:space="preserve">No presenta pruebas.</t>
  </si>
  <si>
    <t xml:space="preserve">Calidad documental, evidencias y repositorio</t>
  </si>
  <si>
    <t xml:space="preserve">Documento profesional, evidencias ordenadas, repositorio con configuraciones exportadas y sin secretos expuestos.</t>
  </si>
  <si>
    <t xml:space="preserve">Documentación clara y ordenada.</t>
  </si>
  <si>
    <t xml:space="preserve">Documentación utilizable pero incompleta.</t>
  </si>
  <si>
    <t xml:space="preserve">Documentación desordenada o sin control de cambios.</t>
  </si>
  <si>
    <t xml:space="preserve">No entrega documentación.</t>
  </si>
  <si>
    <t xml:space="preserve">Sustentación técnica</t>
  </si>
  <si>
    <t xml:space="preserve">Explica decisiones, responde técnicamente, ejecuta demostración y relaciona los controles con los riesgos, sin depender del equipo.</t>
  </si>
  <si>
    <t xml:space="preserve">Domina la mayor parte y demuestra la implementación.</t>
  </si>
  <si>
    <t xml:space="preserve">Responde parcialmente o depende de terceros.</t>
  </si>
  <si>
    <t xml:space="preserve">No puede justificar decisiones ni demostrar componentes.</t>
  </si>
  <si>
    <t xml:space="preserve">No sustenta.</t>
  </si>
  <si>
    <t xml:space="preserve">TOTAL</t>
  </si>
  <si>
    <t xml:space="preserve">NOTA SOBRE 20</t>
  </si>
  <si>
    <t xml:space="preserve">Producto obligatorio</t>
  </si>
  <si>
    <t xml:space="preserve">Formato sugerido</t>
  </si>
  <si>
    <t xml:space="preserve">Contenido mínimo / evidencia</t>
  </si>
  <si>
    <t xml:space="preserve">Criterio de aceptación</t>
  </si>
  <si>
    <t xml:space="preserve">1</t>
  </si>
  <si>
    <t xml:space="preserve">Informe de implementación, testing y monitoreo de red</t>
  </si>
  <si>
    <t xml:space="preserve">DOCX + PDF</t>
  </si>
  <si>
    <t xml:space="preserve">Trazabilidad con el diseño, conectividad, seguridad perimetral, IDS/IPS, monitoreo y pruebas.</t>
  </si>
  <si>
    <t xml:space="preserve">Completo, versionado y coherente con el diseño de red del Semestre 1.</t>
  </si>
  <si>
    <t xml:space="preserve">2</t>
  </si>
  <si>
    <t xml:space="preserve">Evidencias técnicas de configuración</t>
  </si>
  <si>
    <t xml:space="preserve">PDF + archivos de configuración</t>
  </si>
  <si>
    <t xml:space="preserve">Firewall, DMZ, VPN, IDS/IPS, honeypot, monitoreo/SIEM.</t>
  </si>
  <si>
    <t xml:space="preserve">Capturas legibles + export/config + explicación del propósito de cada evidencia.</t>
  </si>
  <si>
    <t xml:space="preserve">3</t>
  </si>
  <si>
    <t xml:space="preserve">Plan y resultados de pruebas</t>
  </si>
  <si>
    <t xml:space="preserve">XLSX/PDF</t>
  </si>
  <si>
    <t xml:space="preserve">Caso, objetivo, precondición, pasos, resultado esperado, resultado obtenido, evidencia, estado.</t>
  </si>
  <si>
    <t xml:space="preserve">Incluye pruebas positivas y negativas: permitido/denegado y detección.</t>
  </si>
  <si>
    <t xml:space="preserve">4</t>
  </si>
  <si>
    <t xml:space="preserve">Repositorio técnico de red</t>
  </si>
  <si>
    <t xml:space="preserve">Git/GitHub/GitLab o ZIP</t>
  </si>
  <si>
    <t xml:space="preserve">Reglas, configuraciones sanitizadas, README y control de versiones.</t>
  </si>
  <si>
    <t xml:space="preserve">El docente puede reconstruir o revisar la configuración sin credenciales expuestas.</t>
  </si>
  <si>
    <t xml:space="preserve">Proyecto</t>
  </si>
  <si>
    <t xml:space="preserve">Infraestructura híbrida AWS + on-premise VMware ESXi con seguridad perimetral y aplicación de un SGSI basado en ISO/IEC 27001.</t>
  </si>
  <si>
    <t xml:space="preserve">Etapa de este entregable</t>
  </si>
  <si>
    <t xml:space="preserve">Implementación, pruebas y monitoreo</t>
  </si>
  <si>
    <t xml:space="preserve">Escala</t>
  </si>
  <si>
    <t xml:space="preserve">4 Excelente | 3 Logrado | 2 En proceso | 1 Insuficiente | 0 No evidenciado</t>
  </si>
  <si>
    <t xml:space="preserve">Cálculo</t>
  </si>
  <si>
    <t xml:space="preserve">Puntaje = Peso × (Nivel / 4). La hoja "Rúbrica" convierte automáticamente el total sobre 100 a nota sobre 20.</t>
  </si>
  <si>
    <t xml:space="preserve">Regla de evidencia</t>
  </si>
  <si>
    <t xml:space="preserve">No se evalúa como implementado/diseñado aquello que solo se describe de forma genérica. Cada elemento debe tener evidencia o justificación verificable.</t>
  </si>
  <si>
    <t xml:space="preserve">Regla de seguridad</t>
  </si>
  <si>
    <t xml:space="preserve">No incluir claves, tokens, secretos, contraseñas, llaves privadas ni datos personales reales en capturas o repositorios.</t>
  </si>
  <si>
    <t xml:space="preserve">Regla de reproducibilidad</t>
  </si>
  <si>
    <t xml:space="preserve">Las evidencias deben permitir al docente identificar qué se configuró o diseñó, dónde, con qué propósito y cuál fue el resultado.</t>
  </si>
  <si>
    <t xml:space="preserve">Regla de sustentación</t>
  </si>
  <si>
    <t xml:space="preserve">La nota del equipo puede complementarse con la sustentación individual para verificar autoría y dominio técnico.</t>
  </si>
  <si>
    <t xml:space="preserve">Base académica</t>
  </si>
  <si>
    <t xml:space="preserve">Fase de implementación correspondiente al entregable de diseño de red del Semestre 1; alineada a ISO/IEC 27002 (controles de red y detección) y a las guías CIS/NIST de configuración segura.</t>
  </si>
  <si>
    <t xml:space="preserve">Relación con el proyecto integrador</t>
  </si>
  <si>
    <t xml:space="preserve">Este entregable es parte de un proyecto de dos semestres. Semestre 1: Análisis y Diseño de Red · Análisis y Diseño de Centro de Datos Híbrido. Semestre 2: Planificación e Implementación del SGSI · Implementación, Testing y Monitoreo de Red · Implementación, Gestión y Control de Centro de Datos.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</si>
</sst>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FFF"/>
      </patternFill>
    </fill>
    <fill>
      <patternFill patternType="solid">
        <fgColor rgb="FFC55A11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26"/>
    <col collapsed="false" customWidth="true" hidden="false" outlineLevel="0" max="7" min="5" style="0" width="22"/>
    <col collapsed="false" customWidth="true" hidden="false" outlineLevel="0" max="8" min="8" style="0" width="20"/>
    <col collapsed="false" customWidth="true" hidden="false" outlineLevel="0" max="9" min="9" style="0" width="10"/>
    <col collapsed="false" customWidth="true" hidden="false" outlineLevel="0" max="10" min="10" style="0" width="9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61.5" hidden="false" customHeight="true" outlineLevel="0" collapsed="false">
      <c r="A5" s="4" t="n">
        <v>1</v>
      </c>
      <c r="B5" s="5" t="s">
        <v>12</v>
      </c>
      <c r="C5" s="4" t="n">
        <v>6</v>
      </c>
      <c r="D5" s="5" t="s">
        <v>13</v>
      </c>
      <c r="E5" s="5" t="s">
        <v>14</v>
      </c>
      <c r="F5" s="5" t="s">
        <v>15</v>
      </c>
      <c r="G5" s="5" t="s">
        <v>16</v>
      </c>
      <c r="H5" s="5" t="s">
        <v>17</v>
      </c>
      <c r="I5" s="4"/>
      <c r="J5" s="4" t="n">
        <f aca="false">C5*(I5/4)</f>
        <v>0</v>
      </c>
    </row>
    <row r="6" customFormat="false" ht="61.5" hidden="false" customHeight="true" outlineLevel="0" collapsed="false">
      <c r="A6" s="4" t="n">
        <v>2</v>
      </c>
      <c r="B6" s="5" t="s">
        <v>18</v>
      </c>
      <c r="C6" s="4" t="n">
        <v>15</v>
      </c>
      <c r="D6" s="5" t="s">
        <v>19</v>
      </c>
      <c r="E6" s="5" t="s">
        <v>20</v>
      </c>
      <c r="F6" s="5" t="s">
        <v>21</v>
      </c>
      <c r="G6" s="5" t="s">
        <v>22</v>
      </c>
      <c r="H6" s="5" t="s">
        <v>23</v>
      </c>
      <c r="I6" s="4"/>
      <c r="J6" s="4" t="n">
        <f aca="false">C6*(I6/4)</f>
        <v>0</v>
      </c>
    </row>
    <row r="7" customFormat="false" ht="61.5" hidden="false" customHeight="true" outlineLevel="0" collapsed="false">
      <c r="A7" s="4" t="n">
        <v>3</v>
      </c>
      <c r="B7" s="5" t="s">
        <v>24</v>
      </c>
      <c r="C7" s="4" t="n">
        <v>22</v>
      </c>
      <c r="D7" s="5" t="s">
        <v>25</v>
      </c>
      <c r="E7" s="5" t="s">
        <v>26</v>
      </c>
      <c r="F7" s="5" t="s">
        <v>27</v>
      </c>
      <c r="G7" s="5" t="s">
        <v>28</v>
      </c>
      <c r="H7" s="5" t="s">
        <v>23</v>
      </c>
      <c r="I7" s="4"/>
      <c r="J7" s="4" t="n">
        <f aca="false">C7*(I7/4)</f>
        <v>0</v>
      </c>
    </row>
    <row r="8" customFormat="false" ht="61.5" hidden="false" customHeight="true" outlineLevel="0" collapsed="false">
      <c r="A8" s="4" t="n">
        <v>4</v>
      </c>
      <c r="B8" s="5" t="s">
        <v>29</v>
      </c>
      <c r="C8" s="4" t="n">
        <v>18</v>
      </c>
      <c r="D8" s="5" t="s">
        <v>30</v>
      </c>
      <c r="E8" s="5" t="s">
        <v>31</v>
      </c>
      <c r="F8" s="5" t="s">
        <v>32</v>
      </c>
      <c r="G8" s="5" t="s">
        <v>33</v>
      </c>
      <c r="H8" s="5" t="s">
        <v>23</v>
      </c>
      <c r="I8" s="4"/>
      <c r="J8" s="4" t="n">
        <f aca="false">C8*(I8/4)</f>
        <v>0</v>
      </c>
    </row>
    <row r="9" customFormat="false" ht="61.5" hidden="false" customHeight="true" outlineLevel="0" collapsed="false">
      <c r="A9" s="4" t="n">
        <v>5</v>
      </c>
      <c r="B9" s="5" t="s">
        <v>34</v>
      </c>
      <c r="C9" s="4" t="n">
        <v>15</v>
      </c>
      <c r="D9" s="5" t="s">
        <v>35</v>
      </c>
      <c r="E9" s="5" t="s">
        <v>36</v>
      </c>
      <c r="F9" s="5" t="s">
        <v>37</v>
      </c>
      <c r="G9" s="5" t="s">
        <v>38</v>
      </c>
      <c r="H9" s="5" t="s">
        <v>39</v>
      </c>
      <c r="I9" s="4"/>
      <c r="J9" s="4" t="n">
        <f aca="false">C9*(I9/4)</f>
        <v>0</v>
      </c>
    </row>
    <row r="10" customFormat="false" ht="61.5" hidden="false" customHeight="true" outlineLevel="0" collapsed="false">
      <c r="A10" s="4" t="n">
        <v>6</v>
      </c>
      <c r="B10" s="5" t="s">
        <v>40</v>
      </c>
      <c r="C10" s="4" t="n">
        <v>12</v>
      </c>
      <c r="D10" s="5" t="s">
        <v>41</v>
      </c>
      <c r="E10" s="5" t="s">
        <v>42</v>
      </c>
      <c r="F10" s="5" t="s">
        <v>43</v>
      </c>
      <c r="G10" s="5" t="s">
        <v>44</v>
      </c>
      <c r="H10" s="5" t="s">
        <v>45</v>
      </c>
      <c r="I10" s="4"/>
      <c r="J10" s="4" t="n">
        <f aca="false">C10*(I10/4)</f>
        <v>0</v>
      </c>
    </row>
    <row r="11" customFormat="false" ht="61.5" hidden="false" customHeight="true" outlineLevel="0" collapsed="false">
      <c r="A11" s="4" t="n">
        <v>7</v>
      </c>
      <c r="B11" s="5" t="s">
        <v>46</v>
      </c>
      <c r="C11" s="4" t="n">
        <v>6</v>
      </c>
      <c r="D11" s="5" t="s">
        <v>47</v>
      </c>
      <c r="E11" s="5" t="s">
        <v>48</v>
      </c>
      <c r="F11" s="5" t="s">
        <v>49</v>
      </c>
      <c r="G11" s="5" t="s">
        <v>50</v>
      </c>
      <c r="H11" s="5" t="s">
        <v>51</v>
      </c>
      <c r="I11" s="4"/>
      <c r="J11" s="4" t="n">
        <f aca="false">C11*(I11/4)</f>
        <v>0</v>
      </c>
    </row>
    <row r="12" customFormat="false" ht="61.5" hidden="false" customHeight="true" outlineLevel="0" collapsed="false">
      <c r="A12" s="4" t="n">
        <v>8</v>
      </c>
      <c r="B12" s="5" t="s">
        <v>52</v>
      </c>
      <c r="C12" s="4" t="n">
        <v>6</v>
      </c>
      <c r="D12" s="5" t="s">
        <v>53</v>
      </c>
      <c r="E12" s="5" t="s">
        <v>54</v>
      </c>
      <c r="F12" s="5" t="s">
        <v>55</v>
      </c>
      <c r="G12" s="5" t="s">
        <v>56</v>
      </c>
      <c r="H12" s="5" t="s">
        <v>57</v>
      </c>
      <c r="I12" s="4"/>
      <c r="J12" s="4" t="n">
        <f aca="false">C12*(I12/4)</f>
        <v>0</v>
      </c>
    </row>
    <row r="13" customFormat="false" ht="15" hidden="false" customHeight="true" outlineLevel="0" collapsed="false">
      <c r="A13" s="6" t="s">
        <v>58</v>
      </c>
      <c r="B13" s="6"/>
      <c r="C13" s="7" t="n">
        <f aca="false">SUM(C5:C12)</f>
        <v>100</v>
      </c>
      <c r="D13" s="7"/>
      <c r="E13" s="7"/>
      <c r="F13" s="7"/>
      <c r="G13" s="7"/>
      <c r="H13" s="7"/>
      <c r="I13" s="7"/>
      <c r="J13" s="7" t="n">
        <f aca="false">SUM(J5:J12)</f>
        <v>0</v>
      </c>
    </row>
    <row r="14" customFormat="false" ht="15" hidden="false" customHeight="true" outlineLevel="0" collapsed="false">
      <c r="A14" s="8" t="s">
        <v>59</v>
      </c>
      <c r="B14" s="8"/>
      <c r="C14" s="8"/>
      <c r="D14" s="8"/>
      <c r="E14" s="8"/>
      <c r="F14" s="8"/>
      <c r="G14" s="8"/>
      <c r="H14" s="8"/>
      <c r="I14" s="8"/>
      <c r="J14" s="9" t="n">
        <f aca="false">ROUND(J13/5,2)</f>
        <v>0</v>
      </c>
    </row>
  </sheetData>
  <mergeCells count="4">
    <mergeCell ref="A1:J1"/>
    <mergeCell ref="A2:J2"/>
    <mergeCell ref="A13:B13"/>
    <mergeCell ref="A14:I14"/>
  </mergeCells>
  <dataValidations count="1">
    <dataValidation allowBlank="true" error="Ingrese un valor entre 0 y 4" errorStyle="stop" errorTitle="Nivel inválido" operator="between" showDropDown="false" showErrorMessage="true" showInputMessage="false" sqref="I5:I12" type="list">
      <formula1>"0,1,2,3,4"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3" t="s">
        <v>2</v>
      </c>
      <c r="B1" s="3" t="s">
        <v>60</v>
      </c>
      <c r="C1" s="3" t="s">
        <v>61</v>
      </c>
      <c r="D1" s="3" t="s">
        <v>62</v>
      </c>
      <c r="E1" s="3" t="s">
        <v>63</v>
      </c>
    </row>
    <row r="2" customFormat="false" ht="45.75" hidden="false" customHeight="true" outlineLevel="0" collapsed="false">
      <c r="A2" s="5" t="s">
        <v>64</v>
      </c>
      <c r="B2" s="5" t="s">
        <v>65</v>
      </c>
      <c r="C2" s="5" t="s">
        <v>66</v>
      </c>
      <c r="D2" s="5" t="s">
        <v>67</v>
      </c>
      <c r="E2" s="5" t="s">
        <v>68</v>
      </c>
    </row>
    <row r="3" customFormat="false" ht="45.75" hidden="false" customHeight="true" outlineLevel="0" collapsed="false">
      <c r="A3" s="5" t="s">
        <v>69</v>
      </c>
      <c r="B3" s="5" t="s">
        <v>70</v>
      </c>
      <c r="C3" s="5" t="s">
        <v>71</v>
      </c>
      <c r="D3" s="5" t="s">
        <v>72</v>
      </c>
      <c r="E3" s="5" t="s">
        <v>73</v>
      </c>
    </row>
    <row r="4" customFormat="false" ht="45.75" hidden="false" customHeight="true" outlineLevel="0" collapsed="false">
      <c r="A4" s="5" t="s">
        <v>74</v>
      </c>
      <c r="B4" s="5" t="s">
        <v>75</v>
      </c>
      <c r="C4" s="5" t="s">
        <v>76</v>
      </c>
      <c r="D4" s="5" t="s">
        <v>77</v>
      </c>
      <c r="E4" s="5" t="s">
        <v>78</v>
      </c>
    </row>
    <row r="5" customFormat="false" ht="45.75" hidden="false" customHeight="true" outlineLevel="0" collapsed="false">
      <c r="A5" s="5" t="s">
        <v>79</v>
      </c>
      <c r="B5" s="5" t="s">
        <v>80</v>
      </c>
      <c r="C5" s="5" t="s">
        <v>81</v>
      </c>
      <c r="D5" s="5" t="s">
        <v>82</v>
      </c>
      <c r="E5" s="5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5"/>
  </cols>
  <sheetData>
    <row r="1" customFormat="false" ht="19.5" hidden="false" customHeight="true" outlineLevel="0" collapsed="false">
      <c r="A1" s="10" t="s">
        <v>0</v>
      </c>
      <c r="B1" s="5"/>
    </row>
    <row r="2" customFormat="false" ht="30" hidden="false" customHeight="true" outlineLevel="0" collapsed="false">
      <c r="A2" s="11" t="s">
        <v>84</v>
      </c>
      <c r="B2" s="5" t="s">
        <v>85</v>
      </c>
    </row>
    <row r="3" customFormat="false" ht="30" hidden="false" customHeight="true" outlineLevel="0" collapsed="false">
      <c r="A3" s="11" t="s">
        <v>86</v>
      </c>
      <c r="B3" s="5" t="s">
        <v>87</v>
      </c>
    </row>
    <row r="4" customFormat="false" ht="30" hidden="false" customHeight="true" outlineLevel="0" collapsed="false">
      <c r="A4" s="11" t="s">
        <v>88</v>
      </c>
      <c r="B4" s="5" t="s">
        <v>89</v>
      </c>
    </row>
    <row r="5" customFormat="false" ht="30" hidden="false" customHeight="true" outlineLevel="0" collapsed="false">
      <c r="A5" s="11" t="s">
        <v>90</v>
      </c>
      <c r="B5" s="5" t="s">
        <v>91</v>
      </c>
    </row>
    <row r="6" customFormat="false" ht="30" hidden="false" customHeight="true" outlineLevel="0" collapsed="false">
      <c r="A6" s="11" t="s">
        <v>92</v>
      </c>
      <c r="B6" s="5" t="s">
        <v>93</v>
      </c>
    </row>
    <row r="7" customFormat="false" ht="30" hidden="false" customHeight="true" outlineLevel="0" collapsed="false">
      <c r="A7" s="11" t="s">
        <v>94</v>
      </c>
      <c r="B7" s="5" t="s">
        <v>95</v>
      </c>
    </row>
    <row r="8" customFormat="false" ht="30" hidden="false" customHeight="true" outlineLevel="0" collapsed="false">
      <c r="A8" s="11" t="s">
        <v>96</v>
      </c>
      <c r="B8" s="5" t="s">
        <v>97</v>
      </c>
    </row>
    <row r="9" customFormat="false" ht="30" hidden="false" customHeight="true" outlineLevel="0" collapsed="false">
      <c r="A9" s="11" t="s">
        <v>98</v>
      </c>
      <c r="B9" s="5" t="s">
        <v>99</v>
      </c>
    </row>
    <row r="10" customFormat="false" ht="30" hidden="false" customHeight="true" outlineLevel="0" collapsed="false">
      <c r="A10" s="11" t="s">
        <v>100</v>
      </c>
      <c r="B10" s="5" t="s">
        <v>101</v>
      </c>
    </row>
    <row r="11" customFormat="false" ht="30" hidden="false" customHeight="true" outlineLevel="0" collapsed="false">
      <c r="A11" s="11" t="s">
        <v>102</v>
      </c>
      <c r="B11" s="5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2026-08-20T00:22:17Z</dcterms:created>
  <dc:creator>openpyxl</dc:creator>
  <dc:description/>
  <dc:language>en-US</dc:language>
  <cp:lastModifiedBy/>
  <dcterms:modified xsi:type="dcterms:W3CDTF">2026-08-20T00:22:17Z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